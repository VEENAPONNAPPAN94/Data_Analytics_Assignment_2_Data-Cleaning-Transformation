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COURSE\Assignments\Excel\"/>
    </mc:Choice>
  </mc:AlternateContent>
  <xr:revisionPtr revIDLastSave="0" documentId="13_ncr:1_{0ABC7FA1-7AD6-4ED7-9A4F-F65CEF16EB63}" xr6:coauthVersionLast="47" xr6:coauthVersionMax="47" xr10:uidLastSave="{00000000-0000-0000-0000-000000000000}"/>
  <bookViews>
    <workbookView xWindow="-108" yWindow="-108" windowWidth="23256" windowHeight="12456" xr2:uid="{47AE4D8C-EDA2-4579-8BF8-00C0BF5F35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F7" i="1"/>
  <c r="F21" i="1"/>
  <c r="F26" i="1"/>
  <c r="O2" i="1" l="1"/>
</calcChain>
</file>

<file path=xl/sharedStrings.xml><?xml version="1.0" encoding="utf-8"?>
<sst xmlns="http://schemas.openxmlformats.org/spreadsheetml/2006/main" count="165" uniqueCount="110">
  <si>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</si>
  <si>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</si>
  <si>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</si>
  <si>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</si>
  <si>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</si>
  <si>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</si>
  <si>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</si>
  <si>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</si>
  <si>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</si>
  <si>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</si>
  <si>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</si>
  <si>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</si>
  <si>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</si>
  <si>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</si>
  <si>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</si>
  <si>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</si>
  <si>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</si>
  <si>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</si>
  <si>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</si>
  <si>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</si>
  <si>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</si>
  <si>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</si>
  <si>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</si>
  <si>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</si>
  <si>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</si>
  <si>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</si>
  <si>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</si>
  <si>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</si>
  <si>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</si>
  <si>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</si>
  <si>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</si>
  <si>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</si>
  <si>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</si>
  <si>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</si>
  <si>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</si>
  <si>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</si>
  <si>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</si>
  <si>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</si>
  <si>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</si>
  <si>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</si>
  <si>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</si>
  <si>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</si>
  <si>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</si>
  <si>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</si>
  <si>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</si>
  <si>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</si>
  <si>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</si>
  <si>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</si>
  <si>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</si>
  <si>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</si>
  <si>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</si>
  <si>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</si>
  <si>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</si>
  <si>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</si>
  <si>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</si>
  <si>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</si>
  <si>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</si>
  <si>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</si>
  <si>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</si>
  <si>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</si>
  <si>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</si>
  <si>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</si>
  <si>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</si>
  <si>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</si>
  <si>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</si>
  <si>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</si>
  <si>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</si>
  <si>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</si>
  <si>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</si>
  <si>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</si>
  <si>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</si>
  <si>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</si>
  <si>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</si>
  <si>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</si>
  <si>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</si>
  <si>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</si>
  <si>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</si>
  <si>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</si>
  <si>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</si>
  <si>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</si>
  <si>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</si>
  <si>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</si>
  <si>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</si>
  <si>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</si>
  <si>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</si>
  <si>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</si>
  <si>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</si>
  <si>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</si>
  <si>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</si>
  <si>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</si>
  <si>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</si>
  <si>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</si>
  <si>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Median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</si>
  <si>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</si>
  <si>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</si>
  <si>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</si>
  <si>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</si>
  <si>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</si>
  <si>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</si>
  <si>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</si>
  <si>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</si>
  <si>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</si>
  <si>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</si>
  <si>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</si>
  <si>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</si>
  <si>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</si>
  <si>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</si>
  <si>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Product Brand</t>
  </si>
  <si>
    <t>Unknown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</si>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</sst>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164" fontId="1" fillId="2" borderId="0" xfId="0" applyNumberFormat="1" applyFont="1" applyFill="1" applyAlignment="1">
      <alignment horizontal="center"/>
    </xf>
    <xf numFmtId="164" fontId="2" fillId="0" borderId="0" xfId="0" applyNumberFormat="1" applyFont="1"/>
    <xf numFmtId="164" fontId="2" fillId="3" borderId="0" xfId="0" applyNumberFormat="1" applyFont="1" applyFill="1"/>
    <xf numFmtId="164" fontId="0" fillId="0" borderId="0" xfId="0" applyNumberFormat="1"/>
    <xf numFmtId="14" fontId="1" fillId="2" borderId="0" xfId="0" applyNumberFormat="1" applyFont="1" applyFill="1" applyAlignment="1">
      <alignment horizontal="center"/>
    </xf>
    <xf numFmtId="14" fontId="2" fillId="0" borderId="0" xfId="0" applyNumberFormat="1" applyFont="1"/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ill>
        <patternFill>
          <bgColor theme="8" tint="0.39994506668294322"/>
        </patternFill>
      </fill>
    </dxf>
    <dxf>
      <fill>
        <patternFill>
          <bgColor theme="6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D1AF-5DB7-42BD-AC3E-1B9CE59A21F4}">
  <dimension ref="A1:O32"/>
  <sheetViews>
    <sheetView tabSelected="1" workbookViewId="0">
      <selection activeCell="M8" sqref="M8"/>
    </sheetView>
  </sheetViews>
  <sheetFormatPr defaultRowHeight="14.4" x14ac:dyDescent="0.3"/>
  <cols>
    <col min="1" max="1" width="14.33203125" customWidth="1"/>
    <col min="2" max="2" width="12.33203125" style="10" customWidth="1"/>
    <col min="4" max="4" width="16.6640625" customWidth="1"/>
    <col min="5" max="5" width="14.33203125" customWidth="1"/>
    <col min="6" max="6" width="9.6640625" style="7" bestFit="1" customWidth="1"/>
    <col min="8" max="8" width="14.5546875" customWidth="1"/>
    <col min="9" max="9" width="15.5546875" customWidth="1"/>
  </cols>
  <sheetData>
    <row r="1" spans="1:15" x14ac:dyDescent="0.3">
      <c r="A1" s="1" t="s">
        <v>0</v>
      </c>
      <c r="B1" s="8" t="s">
        <v>105</v>
      </c>
      <c r="C1" s="1" t="s">
        <v>106</v>
      </c>
      <c r="D1" s="1" t="s">
        <v>1</v>
      </c>
      <c r="E1" s="1" t="s">
        <v>2</v>
      </c>
      <c r="F1" s="4" t="s">
        <v>3</v>
      </c>
      <c r="G1" s="1" t="s">
        <v>4</v>
      </c>
      <c r="H1" s="1" t="s">
        <v>5</v>
      </c>
      <c r="I1" s="1" t="s">
        <v>107</v>
      </c>
      <c r="O1" s="11" t="s">
        <v>92</v>
      </c>
    </row>
    <row r="2" spans="1:15" x14ac:dyDescent="0.3">
      <c r="A2" s="2" t="s">
        <v>6</v>
      </c>
      <c r="B2" s="9">
        <v>46050</v>
      </c>
      <c r="C2" s="2" t="s">
        <v>93</v>
      </c>
      <c r="D2" s="2" t="s">
        <v>38</v>
      </c>
      <c r="E2" s="2" t="s">
        <v>7</v>
      </c>
      <c r="F2" s="5">
        <v>1000</v>
      </c>
      <c r="G2" s="2">
        <v>30</v>
      </c>
      <c r="H2" s="2" t="s">
        <v>8</v>
      </c>
      <c r="I2" t="str">
        <f>_xlfn.CONCAT(E2,"-",D2)</f>
        <v>Dell-Laptop</v>
      </c>
      <c r="O2">
        <f>MEDIAN(F2:F350)</f>
        <v>130</v>
      </c>
    </row>
    <row r="3" spans="1:15" x14ac:dyDescent="0.3">
      <c r="A3" s="3" t="s">
        <v>9</v>
      </c>
      <c r="B3" s="9">
        <v>46068</v>
      </c>
      <c r="C3" s="2" t="s">
        <v>93</v>
      </c>
      <c r="D3" s="3" t="s">
        <v>10</v>
      </c>
      <c r="E3" s="3" t="s">
        <v>11</v>
      </c>
      <c r="F3" s="6">
        <v>80</v>
      </c>
      <c r="G3" s="3">
        <v>15</v>
      </c>
      <c r="H3" s="3" t="s">
        <v>12</v>
      </c>
      <c r="I3" t="str">
        <f>_xlfn.CONCAT(E3,"-",D3)</f>
        <v>Nike-Sneakers</v>
      </c>
    </row>
    <row r="4" spans="1:15" x14ac:dyDescent="0.3">
      <c r="A4" s="2" t="s">
        <v>13</v>
      </c>
      <c r="B4" s="9">
        <v>46084</v>
      </c>
      <c r="C4" s="2" t="s">
        <v>93</v>
      </c>
      <c r="D4" s="2" t="s">
        <v>14</v>
      </c>
      <c r="E4" s="2" t="s">
        <v>15</v>
      </c>
      <c r="F4" s="5">
        <v>130</v>
      </c>
      <c r="G4" s="2">
        <v>40</v>
      </c>
      <c r="H4" s="2" t="s">
        <v>16</v>
      </c>
      <c r="I4" t="str">
        <f>_xlfn.CONCAT(E4,"-",D4)</f>
        <v>Keurig-Coffee Maker</v>
      </c>
    </row>
    <row r="5" spans="1:15" x14ac:dyDescent="0.3">
      <c r="A5" s="3" t="s">
        <v>17</v>
      </c>
      <c r="B5" s="9">
        <v>46123</v>
      </c>
      <c r="C5" s="2" t="s">
        <v>93</v>
      </c>
      <c r="D5" s="3" t="s">
        <v>72</v>
      </c>
      <c r="E5" s="3" t="s">
        <v>18</v>
      </c>
      <c r="F5" s="6">
        <v>900</v>
      </c>
      <c r="G5" s="3">
        <v>25</v>
      </c>
      <c r="H5" s="3" t="s">
        <v>8</v>
      </c>
      <c r="I5" t="str">
        <f>_xlfn.CONCAT(E5,"-",D5)</f>
        <v>Samsung-Smartphone</v>
      </c>
    </row>
    <row r="6" spans="1:15" x14ac:dyDescent="0.3">
      <c r="A6" s="2" t="s">
        <v>19</v>
      </c>
      <c r="B6" s="9">
        <v>46164</v>
      </c>
      <c r="C6" s="2" t="s">
        <v>93</v>
      </c>
      <c r="D6" s="2" t="s">
        <v>20</v>
      </c>
      <c r="E6" s="2" t="s">
        <v>21</v>
      </c>
      <c r="F6" s="5">
        <v>70</v>
      </c>
      <c r="G6" s="2">
        <v>20</v>
      </c>
      <c r="H6" s="2" t="s">
        <v>108</v>
      </c>
      <c r="I6" t="str">
        <f>_xlfn.CONCAT(E6,"-",D6)</f>
        <v>North Face-Backpack</v>
      </c>
    </row>
    <row r="7" spans="1:15" x14ac:dyDescent="0.3">
      <c r="A7" s="3" t="s">
        <v>22</v>
      </c>
      <c r="B7" s="9">
        <v>46180</v>
      </c>
      <c r="C7" s="2" t="s">
        <v>94</v>
      </c>
      <c r="D7" s="3" t="s">
        <v>23</v>
      </c>
      <c r="E7" s="3" t="s">
        <v>24</v>
      </c>
      <c r="F7" s="6">
        <f>130</f>
        <v>130</v>
      </c>
      <c r="G7" s="3">
        <v>45</v>
      </c>
      <c r="H7" s="3" t="s">
        <v>8</v>
      </c>
      <c r="I7" t="str">
        <f>_xlfn.CONCAT(E7,"-",D7)</f>
        <v>Sony-Headphones</v>
      </c>
    </row>
    <row r="8" spans="1:15" x14ac:dyDescent="0.3">
      <c r="A8" s="2" t="s">
        <v>25</v>
      </c>
      <c r="B8" s="9">
        <v>46222</v>
      </c>
      <c r="C8" s="2" t="s">
        <v>94</v>
      </c>
      <c r="D8" s="2" t="s">
        <v>109</v>
      </c>
      <c r="E8" s="2" t="s">
        <v>26</v>
      </c>
      <c r="F8" s="5">
        <v>30</v>
      </c>
      <c r="G8" s="2">
        <v>5</v>
      </c>
      <c r="H8" s="2" t="s">
        <v>12</v>
      </c>
      <c r="I8" t="str">
        <f>_xlfn.CONCAT(E8,"-",D8)</f>
        <v>Adidas-T-Shirt</v>
      </c>
    </row>
    <row r="9" spans="1:15" x14ac:dyDescent="0.3">
      <c r="A9" s="3" t="s">
        <v>27</v>
      </c>
      <c r="B9" s="9">
        <v>46257</v>
      </c>
      <c r="C9" s="2" t="s">
        <v>94</v>
      </c>
      <c r="D9" s="3" t="s">
        <v>28</v>
      </c>
      <c r="E9" s="3" t="s">
        <v>29</v>
      </c>
      <c r="F9" s="6">
        <v>90</v>
      </c>
      <c r="G9" s="3">
        <v>35</v>
      </c>
      <c r="H9" s="3" t="s">
        <v>16</v>
      </c>
      <c r="I9" t="str">
        <f>_xlfn.CONCAT(E9,"-",D9)</f>
        <v>Ninja-Blender</v>
      </c>
    </row>
    <row r="10" spans="1:15" x14ac:dyDescent="0.3">
      <c r="A10" s="2" t="s">
        <v>30</v>
      </c>
      <c r="B10" s="9">
        <v>46270</v>
      </c>
      <c r="C10" s="2" t="s">
        <v>94</v>
      </c>
      <c r="D10" s="2" t="s">
        <v>31</v>
      </c>
      <c r="E10" s="2" t="s">
        <v>32</v>
      </c>
      <c r="F10" s="5">
        <v>500</v>
      </c>
      <c r="G10" s="2">
        <v>50</v>
      </c>
      <c r="H10" s="2" t="s">
        <v>8</v>
      </c>
      <c r="I10" t="str">
        <f>_xlfn.CONCAT(E10,"-",D10)</f>
        <v>Apple-Tablet</v>
      </c>
    </row>
    <row r="11" spans="1:15" x14ac:dyDescent="0.3">
      <c r="A11" s="3" t="s">
        <v>33</v>
      </c>
      <c r="B11" s="9">
        <v>46309</v>
      </c>
      <c r="C11" s="2" t="s">
        <v>94</v>
      </c>
      <c r="D11" s="3" t="s">
        <v>34</v>
      </c>
      <c r="E11" s="3" t="s">
        <v>35</v>
      </c>
      <c r="F11" s="6">
        <v>130</v>
      </c>
      <c r="G11" s="3">
        <v>10</v>
      </c>
      <c r="H11" s="3" t="s">
        <v>36</v>
      </c>
      <c r="I11" t="str">
        <f>_xlfn.CONCAT(E11,"-",D11)</f>
        <v>Timberland-Hiking Boots</v>
      </c>
    </row>
    <row r="12" spans="1:15" x14ac:dyDescent="0.3">
      <c r="A12" s="2" t="s">
        <v>37</v>
      </c>
      <c r="B12" s="9">
        <v>46190</v>
      </c>
      <c r="C12" s="2" t="s">
        <v>95</v>
      </c>
      <c r="D12" s="2" t="s">
        <v>38</v>
      </c>
      <c r="E12" s="2" t="s">
        <v>39</v>
      </c>
      <c r="F12" s="5">
        <v>950</v>
      </c>
      <c r="G12" s="2">
        <v>25</v>
      </c>
      <c r="H12" s="2" t="s">
        <v>8</v>
      </c>
      <c r="I12" t="str">
        <f>_xlfn.CONCAT(E12,"-",D12)</f>
        <v>HP-Laptop</v>
      </c>
    </row>
    <row r="13" spans="1:15" x14ac:dyDescent="0.3">
      <c r="A13" s="3" t="s">
        <v>40</v>
      </c>
      <c r="B13" s="9">
        <v>46351</v>
      </c>
      <c r="C13" s="2" t="s">
        <v>96</v>
      </c>
      <c r="D13" s="3" t="s">
        <v>10</v>
      </c>
      <c r="E13" s="3" t="s">
        <v>26</v>
      </c>
      <c r="F13" s="6">
        <v>90</v>
      </c>
      <c r="G13" s="3">
        <v>40</v>
      </c>
      <c r="H13" s="3" t="s">
        <v>108</v>
      </c>
      <c r="I13" t="str">
        <f>_xlfn.CONCAT(E13,"-",D13)</f>
        <v>Adidas-Sneakers</v>
      </c>
    </row>
    <row r="14" spans="1:15" x14ac:dyDescent="0.3">
      <c r="A14" s="2" t="s">
        <v>41</v>
      </c>
      <c r="B14" s="9">
        <v>46364</v>
      </c>
      <c r="C14" s="2" t="s">
        <v>97</v>
      </c>
      <c r="D14" s="2" t="s">
        <v>14</v>
      </c>
      <c r="E14" s="2" t="s">
        <v>42</v>
      </c>
      <c r="F14" s="5">
        <v>120</v>
      </c>
      <c r="G14" s="2">
        <v>35</v>
      </c>
      <c r="H14" s="2" t="s">
        <v>108</v>
      </c>
      <c r="I14" t="str">
        <f>_xlfn.CONCAT(E14,"-",D14)</f>
        <v>Nespresso-Coffee Maker</v>
      </c>
    </row>
    <row r="15" spans="1:15" x14ac:dyDescent="0.3">
      <c r="A15" s="3" t="s">
        <v>43</v>
      </c>
      <c r="B15" s="9">
        <v>46071</v>
      </c>
      <c r="C15" s="2" t="s">
        <v>98</v>
      </c>
      <c r="D15" s="3" t="s">
        <v>44</v>
      </c>
      <c r="E15" s="3" t="s">
        <v>45</v>
      </c>
      <c r="F15" s="6">
        <v>150</v>
      </c>
      <c r="G15" s="3">
        <v>15</v>
      </c>
      <c r="H15" s="3" t="s">
        <v>8</v>
      </c>
      <c r="I15" t="str">
        <f>_xlfn.CONCAT(E15,"-",D15)</f>
        <v>Fitbit-Smartwatch</v>
      </c>
    </row>
    <row r="16" spans="1:15" x14ac:dyDescent="0.3">
      <c r="A16" s="2" t="s">
        <v>46</v>
      </c>
      <c r="B16" s="9">
        <v>46128</v>
      </c>
      <c r="C16" s="2" t="s">
        <v>99</v>
      </c>
      <c r="D16" s="2" t="s">
        <v>23</v>
      </c>
      <c r="E16" s="2" t="s">
        <v>47</v>
      </c>
      <c r="F16" s="5">
        <v>250</v>
      </c>
      <c r="G16" s="2">
        <v>20</v>
      </c>
      <c r="H16" s="2" t="s">
        <v>8</v>
      </c>
      <c r="I16" t="str">
        <f>_xlfn.CONCAT(E16,"-",D16)</f>
        <v>Bose-Headphones</v>
      </c>
    </row>
    <row r="17" spans="1:9" x14ac:dyDescent="0.3">
      <c r="A17" s="3" t="s">
        <v>48</v>
      </c>
      <c r="B17" s="9">
        <v>46255</v>
      </c>
      <c r="C17" s="2" t="s">
        <v>98</v>
      </c>
      <c r="D17" s="3" t="s">
        <v>49</v>
      </c>
      <c r="E17" s="3" t="s">
        <v>50</v>
      </c>
      <c r="F17" s="6">
        <v>50</v>
      </c>
      <c r="G17" s="3">
        <v>35</v>
      </c>
      <c r="H17" s="3" t="s">
        <v>51</v>
      </c>
      <c r="I17" t="str">
        <f>_xlfn.CONCAT(E17,"-",D17)</f>
        <v>Samsonite-Laptop Bag</v>
      </c>
    </row>
    <row r="18" spans="1:9" x14ac:dyDescent="0.3">
      <c r="A18" s="2" t="s">
        <v>52</v>
      </c>
      <c r="B18" s="9">
        <v>46254</v>
      </c>
      <c r="C18" s="2" t="s">
        <v>100</v>
      </c>
      <c r="D18" s="2" t="s">
        <v>44</v>
      </c>
      <c r="E18" s="2" t="s">
        <v>53</v>
      </c>
      <c r="F18" s="5">
        <v>160</v>
      </c>
      <c r="G18" s="2">
        <v>15</v>
      </c>
      <c r="H18" s="2" t="s">
        <v>8</v>
      </c>
      <c r="I18" t="str">
        <f>_xlfn.CONCAT(E18,"-",D18)</f>
        <v>Huawei-Smartwatch</v>
      </c>
    </row>
    <row r="19" spans="1:9" x14ac:dyDescent="0.3">
      <c r="A19" s="3" t="s">
        <v>54</v>
      </c>
      <c r="B19" s="9">
        <v>46049</v>
      </c>
      <c r="C19" s="2" t="s">
        <v>101</v>
      </c>
      <c r="D19" s="3" t="s">
        <v>38</v>
      </c>
      <c r="E19" s="3" t="s">
        <v>55</v>
      </c>
      <c r="F19" s="6">
        <v>980</v>
      </c>
      <c r="G19" s="3">
        <v>10</v>
      </c>
      <c r="H19" s="3" t="s">
        <v>8</v>
      </c>
      <c r="I19" t="str">
        <f>_xlfn.CONCAT(E19,"-",D19)</f>
        <v>Asus-Laptop</v>
      </c>
    </row>
    <row r="20" spans="1:9" x14ac:dyDescent="0.3">
      <c r="A20" s="2" t="s">
        <v>56</v>
      </c>
      <c r="B20" s="9">
        <v>46082</v>
      </c>
      <c r="C20" s="2" t="s">
        <v>94</v>
      </c>
      <c r="D20" s="2" t="s">
        <v>57</v>
      </c>
      <c r="E20" s="2" t="s">
        <v>58</v>
      </c>
      <c r="F20" s="5">
        <v>150</v>
      </c>
      <c r="G20" s="2">
        <v>15</v>
      </c>
      <c r="H20" s="2" t="s">
        <v>12</v>
      </c>
      <c r="I20" t="str">
        <f>_xlfn.CONCAT(E20,"-",D20)</f>
        <v>Oakley-Sunglasses</v>
      </c>
    </row>
    <row r="21" spans="1:9" x14ac:dyDescent="0.3">
      <c r="A21" s="3" t="s">
        <v>59</v>
      </c>
      <c r="B21" s="9">
        <v>46248</v>
      </c>
      <c r="C21" s="2" t="s">
        <v>93</v>
      </c>
      <c r="D21" s="3" t="s">
        <v>60</v>
      </c>
      <c r="E21" s="3" t="s">
        <v>61</v>
      </c>
      <c r="F21" s="6">
        <f>130</f>
        <v>130</v>
      </c>
      <c r="G21" s="3">
        <v>10</v>
      </c>
      <c r="H21" s="3" t="s">
        <v>36</v>
      </c>
      <c r="I21" t="str">
        <f>_xlfn.CONCAT(E21,"-",D21)</f>
        <v>Coleman-Camping Tent</v>
      </c>
    </row>
    <row r="22" spans="1:9" x14ac:dyDescent="0.3">
      <c r="A22" s="2" t="s">
        <v>62</v>
      </c>
      <c r="B22" s="9">
        <v>46156</v>
      </c>
      <c r="C22" s="2" t="s">
        <v>102</v>
      </c>
      <c r="D22" s="2" t="s">
        <v>63</v>
      </c>
      <c r="E22" s="2" t="s">
        <v>64</v>
      </c>
      <c r="F22" s="5">
        <v>700</v>
      </c>
      <c r="G22" s="2">
        <v>50</v>
      </c>
      <c r="H22" s="2" t="s">
        <v>8</v>
      </c>
      <c r="I22" t="str">
        <f>_xlfn.CONCAT(E22,"-",D22)</f>
        <v>Nikon-Camera</v>
      </c>
    </row>
    <row r="23" spans="1:9" x14ac:dyDescent="0.3">
      <c r="A23" s="3" t="s">
        <v>65</v>
      </c>
      <c r="B23" s="9">
        <v>46031</v>
      </c>
      <c r="C23" s="2" t="s">
        <v>98</v>
      </c>
      <c r="D23" s="3" t="s">
        <v>66</v>
      </c>
      <c r="E23" s="3" t="s">
        <v>67</v>
      </c>
      <c r="F23" s="6">
        <v>80</v>
      </c>
      <c r="G23" s="3">
        <v>20</v>
      </c>
      <c r="H23" s="3" t="s">
        <v>16</v>
      </c>
      <c r="I23" t="str">
        <f>_xlfn.CONCAT(E23,"-",D23)</f>
        <v>Panasonic-Microwave</v>
      </c>
    </row>
    <row r="24" spans="1:9" x14ac:dyDescent="0.3">
      <c r="A24" s="2" t="s">
        <v>68</v>
      </c>
      <c r="B24" s="9">
        <v>46222</v>
      </c>
      <c r="C24" s="2" t="s">
        <v>103</v>
      </c>
      <c r="D24" s="2" t="s">
        <v>69</v>
      </c>
      <c r="E24" s="2" t="s">
        <v>70</v>
      </c>
      <c r="F24" s="5">
        <v>150</v>
      </c>
      <c r="G24" s="2">
        <v>30</v>
      </c>
      <c r="H24" s="2" t="s">
        <v>108</v>
      </c>
      <c r="I24" t="str">
        <f>_xlfn.CONCAT(E24,"-",D24)</f>
        <v>Xiaomi-Fitness Tracker</v>
      </c>
    </row>
    <row r="25" spans="1:9" x14ac:dyDescent="0.3">
      <c r="A25" s="2" t="s">
        <v>71</v>
      </c>
      <c r="B25" s="9">
        <v>46294</v>
      </c>
      <c r="C25" s="2" t="s">
        <v>98</v>
      </c>
      <c r="D25" s="2" t="s">
        <v>72</v>
      </c>
      <c r="E25" s="2" t="s">
        <v>73</v>
      </c>
      <c r="F25" s="5">
        <v>800</v>
      </c>
      <c r="G25" s="2">
        <v>45</v>
      </c>
      <c r="H25" s="2" t="s">
        <v>8</v>
      </c>
      <c r="I25" t="str">
        <f>_xlfn.CONCAT(E25,"-",D25)</f>
        <v>Google-Smartphone</v>
      </c>
    </row>
    <row r="26" spans="1:9" x14ac:dyDescent="0.3">
      <c r="A26" s="3" t="s">
        <v>74</v>
      </c>
      <c r="B26" s="9">
        <v>46176</v>
      </c>
      <c r="C26" s="2" t="s">
        <v>98</v>
      </c>
      <c r="D26" s="3" t="s">
        <v>57</v>
      </c>
      <c r="E26" s="3" t="s">
        <v>75</v>
      </c>
      <c r="F26" s="6">
        <f>130</f>
        <v>130</v>
      </c>
      <c r="G26" s="3">
        <v>25</v>
      </c>
      <c r="H26" s="3" t="s">
        <v>12</v>
      </c>
      <c r="I26" t="str">
        <f>_xlfn.CONCAT(E26,"-",D26)</f>
        <v>Ray-Ban-Sunglasses</v>
      </c>
    </row>
    <row r="27" spans="1:9" x14ac:dyDescent="0.3">
      <c r="A27" s="2" t="s">
        <v>76</v>
      </c>
      <c r="B27" s="9">
        <v>46214</v>
      </c>
      <c r="C27" s="2" t="s">
        <v>98</v>
      </c>
      <c r="D27" s="2" t="s">
        <v>28</v>
      </c>
      <c r="E27" s="2" t="s">
        <v>77</v>
      </c>
      <c r="F27" s="5">
        <v>400</v>
      </c>
      <c r="G27" s="2">
        <v>40</v>
      </c>
      <c r="H27" s="2" t="s">
        <v>16</v>
      </c>
      <c r="I27" t="str">
        <f>_xlfn.CONCAT(E27,"-",D27)</f>
        <v>Vitamix-Blender</v>
      </c>
    </row>
    <row r="28" spans="1:9" x14ac:dyDescent="0.3">
      <c r="A28" s="2" t="s">
        <v>78</v>
      </c>
      <c r="B28" s="9">
        <v>46088</v>
      </c>
      <c r="C28" s="2" t="s">
        <v>98</v>
      </c>
      <c r="D28" s="2" t="s">
        <v>79</v>
      </c>
      <c r="E28" s="2" t="s">
        <v>80</v>
      </c>
      <c r="F28" s="5">
        <v>60</v>
      </c>
      <c r="G28" s="2">
        <v>30</v>
      </c>
      <c r="H28" s="2" t="s">
        <v>12</v>
      </c>
      <c r="I28" t="str">
        <f>_xlfn.CONCAT(E28,"-",D28)</f>
        <v>Zara-Dress</v>
      </c>
    </row>
    <row r="29" spans="1:9" x14ac:dyDescent="0.3">
      <c r="A29" s="3" t="s">
        <v>81</v>
      </c>
      <c r="B29" s="9">
        <v>46125</v>
      </c>
      <c r="C29" s="2" t="s">
        <v>98</v>
      </c>
      <c r="D29" s="3" t="s">
        <v>82</v>
      </c>
      <c r="E29" s="3" t="s">
        <v>83</v>
      </c>
      <c r="F29" s="6">
        <v>40</v>
      </c>
      <c r="G29" s="3">
        <v>10</v>
      </c>
      <c r="H29" s="3" t="s">
        <v>16</v>
      </c>
      <c r="I29" t="str">
        <f>_xlfn.CONCAT(E29,"-",D29)</f>
        <v>Hamilton-Toaster</v>
      </c>
    </row>
    <row r="30" spans="1:9" x14ac:dyDescent="0.3">
      <c r="A30" s="2" t="s">
        <v>84</v>
      </c>
      <c r="B30" s="9">
        <v>46166</v>
      </c>
      <c r="C30" s="2" t="s">
        <v>98</v>
      </c>
      <c r="D30" s="2" t="s">
        <v>69</v>
      </c>
      <c r="E30" s="2" t="s">
        <v>85</v>
      </c>
      <c r="F30" s="5">
        <v>130</v>
      </c>
      <c r="G30" s="2">
        <v>5</v>
      </c>
      <c r="H30" s="2" t="s">
        <v>8</v>
      </c>
      <c r="I30" t="str">
        <f>_xlfn.CONCAT(E30,"-",D30)</f>
        <v>Garmin-Fitness Tracker</v>
      </c>
    </row>
    <row r="31" spans="1:9" x14ac:dyDescent="0.3">
      <c r="A31" s="3" t="s">
        <v>86</v>
      </c>
      <c r="B31" s="9">
        <v>46358</v>
      </c>
      <c r="C31" s="2" t="s">
        <v>98</v>
      </c>
      <c r="D31" s="3" t="s">
        <v>87</v>
      </c>
      <c r="E31" s="3" t="s">
        <v>88</v>
      </c>
      <c r="F31" s="6">
        <v>50</v>
      </c>
      <c r="G31" s="3">
        <v>50</v>
      </c>
      <c r="H31" s="3" t="s">
        <v>12</v>
      </c>
      <c r="I31" t="str">
        <f>_xlfn.CONCAT(E31,"-",D31)</f>
        <v>Levi's-Jeans</v>
      </c>
    </row>
    <row r="32" spans="1:9" x14ac:dyDescent="0.3">
      <c r="A32" s="3" t="s">
        <v>89</v>
      </c>
      <c r="B32" s="9">
        <v>46212</v>
      </c>
      <c r="C32" s="2" t="s">
        <v>104</v>
      </c>
      <c r="D32" s="3" t="s">
        <v>90</v>
      </c>
      <c r="E32" s="3" t="s">
        <v>91</v>
      </c>
      <c r="F32" s="6">
        <v>100</v>
      </c>
      <c r="G32" s="3">
        <v>20</v>
      </c>
      <c r="H32" s="3" t="s">
        <v>51</v>
      </c>
      <c r="I32" t="str">
        <f>_xlfn.CONCAT(E32,"-",D32)</f>
        <v>Casio-Watch</v>
      </c>
    </row>
  </sheetData>
  <conditionalFormatting sqref="F2:F3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{B06373EB-1159-4BE7-997F-A3A6862D92DF}</x14:id>
        </ext>
      </extLst>
    </cfRule>
  </conditionalFormatting>
  <conditionalFormatting sqref="A2:J32">
    <cfRule type="expression" dxfId="0" priority="1">
      <formula>$H2="Electronics"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6373EB-1159-4BE7-997F-A3A6862D92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Prasanth</dc:creator>
  <cp:lastModifiedBy>Veena Prasanth</cp:lastModifiedBy>
  <dcterms:created xsi:type="dcterms:W3CDTF">2026-09-21T08:09:19Z</dcterms:created>
  <dcterms:modified xsi:type="dcterms:W3CDTF">2026-09-21T14:12:02Z</dcterms:modified>
</cp:coreProperties>
</file>